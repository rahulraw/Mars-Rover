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15390" windowHeight="7155"/>
  </bookViews>
  <sheets>
    <sheet name="Sheet1" sheetId="2" r:id="rId1"/>
  </sheets>
  <definedNames>
    <definedName name="_c">Sheet1!$B$5</definedName>
    <definedName name="_c2">Sheet1!$B$13</definedName>
    <definedName name="_d">Sheet1!$B$3</definedName>
    <definedName name="_g">Sheet1!$B$4</definedName>
    <definedName name="r_R">Sheet1!$B$7</definedName>
    <definedName name="theta">Sheet1!$B$8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8" i="2"/>
  <c r="B22"/>
  <c r="B23"/>
  <c r="B24"/>
  <c r="B25"/>
  <c r="A28"/>
  <c r="A27"/>
  <c r="B27" s="1"/>
  <c r="A26"/>
  <c r="B26" s="1"/>
  <c r="C10" l="1"/>
  <c r="B6"/>
  <c r="C8"/>
  <c r="B5"/>
  <c r="B7" s="1"/>
  <c r="B4"/>
  <c r="B9" s="1"/>
  <c r="B12" l="1"/>
  <c r="E33" s="1"/>
  <c r="F7"/>
  <c r="B10"/>
  <c r="F10" s="1"/>
  <c r="F9"/>
  <c r="B8"/>
  <c r="F8" s="1"/>
  <c r="E34" l="1"/>
</calcChain>
</file>

<file path=xl/sharedStrings.xml><?xml version="1.0" encoding="utf-8"?>
<sst xmlns="http://schemas.openxmlformats.org/spreadsheetml/2006/main" count="25" uniqueCount="25">
  <si>
    <t>input:</t>
  </si>
  <si>
    <t>d</t>
  </si>
  <si>
    <t>g</t>
  </si>
  <si>
    <t>C</t>
  </si>
  <si>
    <t>C2</t>
  </si>
  <si>
    <t>*Angle of front right wheel, clockwise +'ve</t>
  </si>
  <si>
    <t>Inside?</t>
  </si>
  <si>
    <t>theta FR</t>
  </si>
  <si>
    <t>theta FL</t>
  </si>
  <si>
    <t>theta BR</t>
  </si>
  <si>
    <t>theta2 BL</t>
  </si>
  <si>
    <t>r_FR</t>
  </si>
  <si>
    <t>r_FL</t>
  </si>
  <si>
    <t>r_BR</t>
  </si>
  <si>
    <t>r_BL</t>
  </si>
  <si>
    <t>Enter rotation point here in metres, can be positive (right) or negative (left)</t>
  </si>
  <si>
    <t xml:space="preserve">For crossing 0-&gt;4 billion, with every encoder read, check if tick value is greater than 2 billion.  If so, update the tick values as tick value = tick value - 4 billion.  This should change the tick value to a continuous range from -ve 2bilion to +ve 2billion.  </t>
  </si>
  <si>
    <t>Wheel speed ratio:</t>
  </si>
  <si>
    <t>V_right</t>
  </si>
  <si>
    <t>V_left</t>
  </si>
  <si>
    <t>Throttle stick</t>
  </si>
  <si>
    <t>r_R/r_L</t>
  </si>
  <si>
    <t>Wheel speed = Throttle stick*(radius_ratio)</t>
  </si>
  <si>
    <t xml:space="preserve">Note: Speed directions need to change when rotation point is inside the rover.  </t>
  </si>
  <si>
    <t>Should consider not following a d value &lt; 0.5 except for 0 to avoid wheels spasming around 0.257 since they jump 180 degrees.  Also practically, if there is a need for a turn tighter than d=0.5, it is more intuitive to turn the rover on itself.  Should also consider using bumper buttons to activate turning on itself.</t>
  </si>
</sst>
</file>

<file path=xl/styles.xml><?xml version="1.0" encoding="utf-8"?>
<styleSheet xmlns="http://schemas.openxmlformats.org/spreadsheetml/2006/main">
  <numFmts count="1">
    <numFmt numFmtId="164" formatCode="0.000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0" fontId="1" fillId="0" borderId="0" xfId="0" applyFont="1"/>
    <xf numFmtId="0" fontId="0" fillId="3" borderId="0" xfId="0" applyFill="1"/>
    <xf numFmtId="164" fontId="0" fillId="3" borderId="0" xfId="0" applyNumberFormat="1" applyFill="1"/>
    <xf numFmtId="0" fontId="0" fillId="0" borderId="0" xfId="0" applyFont="1"/>
    <xf numFmtId="1" fontId="0" fillId="3" borderId="0" xfId="0" applyNumberFormat="1" applyFill="1"/>
    <xf numFmtId="0" fontId="0" fillId="4" borderId="0" xfId="0" applyFill="1"/>
    <xf numFmtId="0" fontId="1" fillId="0" borderId="0" xfId="0" applyFont="1" applyFill="1"/>
    <xf numFmtId="0" fontId="0" fillId="0" borderId="0" xfId="0" applyFill="1"/>
    <xf numFmtId="0" fontId="0" fillId="0" borderId="0" xfId="0" applyFont="1" applyFill="1"/>
    <xf numFmtId="164" fontId="0" fillId="0" borderId="0" xfId="0" quotePrefix="1" applyNumberFormat="1" applyFill="1"/>
    <xf numFmtId="1" fontId="0" fillId="0" borderId="0" xfId="0" quotePrefix="1" applyNumberFormat="1" applyFill="1"/>
    <xf numFmtId="0" fontId="0" fillId="5" borderId="0" xfId="0" applyFill="1"/>
    <xf numFmtId="0" fontId="0" fillId="0" borderId="0" xfId="0" applyAlignment="1">
      <alignment vertical="top" wrapText="1"/>
    </xf>
    <xf numFmtId="0" fontId="0" fillId="0" borderId="0" xfId="0" applyAlignment="1">
      <alignment horizontal="left"/>
    </xf>
    <xf numFmtId="0" fontId="0" fillId="0" borderId="0" xfId="0" applyFill="1" applyAlignment="1">
      <alignment horizontal="left" vertical="top"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160172</xdr:colOff>
      <xdr:row>7</xdr:row>
      <xdr:rowOff>38100</xdr:rowOff>
    </xdr:from>
    <xdr:to>
      <xdr:col>13</xdr:col>
      <xdr:colOff>419097</xdr:colOff>
      <xdr:row>13</xdr:row>
      <xdr:rowOff>161930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 rot="-8100000">
          <a:off x="7523870" y="1570752"/>
          <a:ext cx="1266830" cy="868525"/>
        </a:xfrm>
        <a:prstGeom prst="homePlate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11</xdr:col>
      <xdr:colOff>561097</xdr:colOff>
      <xdr:row>18</xdr:row>
      <xdr:rowOff>56280</xdr:rowOff>
    </xdr:from>
    <xdr:to>
      <xdr:col>13</xdr:col>
      <xdr:colOff>608727</xdr:colOff>
      <xdr:row>22</xdr:row>
      <xdr:rowOff>162805</xdr:rowOff>
    </xdr:to>
    <xdr:pic>
      <xdr:nvPicPr>
        <xdr:cNvPr id="11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 rot="-2700000">
          <a:off x="7514347" y="3485280"/>
          <a:ext cx="1266830" cy="868525"/>
        </a:xfrm>
        <a:prstGeom prst="homePlate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8</xdr:col>
      <xdr:colOff>369724</xdr:colOff>
      <xdr:row>17</xdr:row>
      <xdr:rowOff>47629</xdr:rowOff>
    </xdr:from>
    <xdr:to>
      <xdr:col>10</xdr:col>
      <xdr:colOff>19049</xdr:colOff>
      <xdr:row>23</xdr:row>
      <xdr:rowOff>171459</xdr:rowOff>
    </xdr:to>
    <xdr:pic>
      <xdr:nvPicPr>
        <xdr:cNvPr id="12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 rot="-8100000">
          <a:off x="5295022" y="3485281"/>
          <a:ext cx="1266830" cy="868525"/>
        </a:xfrm>
        <a:prstGeom prst="homePlate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189621</xdr:colOff>
      <xdr:row>8</xdr:row>
      <xdr:rowOff>46756</xdr:rowOff>
    </xdr:from>
    <xdr:to>
      <xdr:col>10</xdr:col>
      <xdr:colOff>237251</xdr:colOff>
      <xdr:row>12</xdr:row>
      <xdr:rowOff>153281</xdr:rowOff>
    </xdr:to>
    <xdr:pic>
      <xdr:nvPicPr>
        <xdr:cNvPr id="10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 rot="-2700000">
          <a:off x="5314071" y="1570756"/>
          <a:ext cx="1266830" cy="868525"/>
        </a:xfrm>
        <a:prstGeom prst="homePlate">
          <a:avLst>
            <a:gd name="adj" fmla="val 51551"/>
          </a:avLst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8</xdr:col>
      <xdr:colOff>600075</xdr:colOff>
      <xdr:row>1</xdr:row>
      <xdr:rowOff>57149</xdr:rowOff>
    </xdr:from>
    <xdr:to>
      <xdr:col>13</xdr:col>
      <xdr:colOff>200026</xdr:colOff>
      <xdr:row>22</xdr:row>
      <xdr:rowOff>95250</xdr:rowOff>
    </xdr:to>
    <xdr:pic>
      <xdr:nvPicPr>
        <xdr:cNvPr id="8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t="4319" r="2529" b="3322"/>
        <a:stretch>
          <a:fillRect/>
        </a:stretch>
      </xdr:blipFill>
      <xdr:spPr bwMode="auto">
        <a:xfrm rot="5400000">
          <a:off x="5029200" y="942974"/>
          <a:ext cx="4038601" cy="264795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U34"/>
  <sheetViews>
    <sheetView tabSelected="1" workbookViewId="0">
      <selection activeCell="B4" sqref="B4"/>
    </sheetView>
  </sheetViews>
  <sheetFormatPr defaultRowHeight="15"/>
  <cols>
    <col min="1" max="2" width="11" bestFit="1" customWidth="1"/>
  </cols>
  <sheetData>
    <row r="1" spans="1:21">
      <c r="A1" s="2" t="s">
        <v>0</v>
      </c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</row>
    <row r="2" spans="1:21">
      <c r="B2" t="s">
        <v>15</v>
      </c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</row>
    <row r="3" spans="1:21">
      <c r="A3" s="2" t="s">
        <v>1</v>
      </c>
      <c r="B3" s="1">
        <v>1</v>
      </c>
      <c r="D3" t="s">
        <v>5</v>
      </c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</row>
    <row r="4" spans="1:21">
      <c r="A4" s="2" t="s">
        <v>2</v>
      </c>
      <c r="B4" s="7">
        <f>0.727/2</f>
        <v>0.36349999999999999</v>
      </c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</row>
    <row r="5" spans="1:21">
      <c r="A5" s="2" t="s">
        <v>3</v>
      </c>
      <c r="B5" s="7">
        <f>45</f>
        <v>45</v>
      </c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</row>
    <row r="6" spans="1:21">
      <c r="A6" s="8" t="s">
        <v>4</v>
      </c>
      <c r="B6" s="7">
        <f>135</f>
        <v>135</v>
      </c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</row>
    <row r="7" spans="1:21">
      <c r="A7" t="s">
        <v>11</v>
      </c>
      <c r="B7" s="4">
        <f>SQRT(B3^2+B4^2-2*B3*B4*COS((PI()*B5/180)))</f>
        <v>0.78617149533506991</v>
      </c>
      <c r="C7" s="2" t="s">
        <v>6</v>
      </c>
      <c r="E7" t="s">
        <v>13</v>
      </c>
      <c r="F7" s="4">
        <f>r_R</f>
        <v>0.78617149533506991</v>
      </c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5" t="s">
        <v>7</v>
      </c>
      <c r="B8" s="6">
        <f>DEGREES(ASIN((SIN(PI()*B5/180)/B7)*B4))*C8</f>
        <v>19.083336371377857</v>
      </c>
      <c r="C8" s="3">
        <f>IF(B3&lt;0.257,-1,1)</f>
        <v>1</v>
      </c>
      <c r="E8" s="5" t="s">
        <v>9</v>
      </c>
      <c r="F8" s="6">
        <f>-theta</f>
        <v>-19.083336371377857</v>
      </c>
      <c r="G8" s="9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</row>
    <row r="9" spans="1:21">
      <c r="A9" s="10" t="s">
        <v>12</v>
      </c>
      <c r="B9" s="4">
        <f>SQRT(_d^2+_g^2-2*_d*_g*COS(PI()*B6/180))</f>
        <v>1.2830428207673428</v>
      </c>
      <c r="E9" s="10" t="s">
        <v>14</v>
      </c>
      <c r="F9" s="4">
        <f>B9</f>
        <v>1.2830428207673428</v>
      </c>
      <c r="G9" s="9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</row>
    <row r="10" spans="1:21">
      <c r="A10" s="10" t="s">
        <v>8</v>
      </c>
      <c r="B10" s="6">
        <f>DEGREES(ASIN((SIN(PI()*B6/180)/B9)*_g))*C10</f>
        <v>11.556318574153703</v>
      </c>
      <c r="C10" s="3">
        <f>IF(B3&lt;-0.257,-1,1)</f>
        <v>1</v>
      </c>
      <c r="E10" s="10" t="s">
        <v>10</v>
      </c>
      <c r="F10" s="6">
        <f>-B10</f>
        <v>-11.556318574153703</v>
      </c>
      <c r="G10" s="9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</row>
    <row r="11" spans="1:21">
      <c r="A11" s="8"/>
      <c r="B11" s="9"/>
      <c r="C11" s="9"/>
      <c r="D11" s="9"/>
      <c r="E11" s="9"/>
      <c r="F11" s="9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</row>
    <row r="12" spans="1:21">
      <c r="A12" s="8" t="s">
        <v>21</v>
      </c>
      <c r="B12" s="9">
        <f>r_R/B9</f>
        <v>0.61273987322175916</v>
      </c>
      <c r="C12" s="9"/>
      <c r="D12" s="9"/>
      <c r="E12" s="9"/>
      <c r="F12" s="9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</row>
    <row r="13" spans="1:21">
      <c r="A13" s="8"/>
      <c r="B13" s="9"/>
      <c r="C13" s="9"/>
      <c r="D13" s="9"/>
      <c r="E13" s="9"/>
      <c r="F13" s="9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</row>
    <row r="14" spans="1:21">
      <c r="A14" s="9"/>
      <c r="B14" s="11"/>
      <c r="C14" s="9"/>
      <c r="D14" s="9"/>
      <c r="E14" s="9"/>
      <c r="F14" s="9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</row>
    <row r="15" spans="1:21">
      <c r="A15" s="10"/>
      <c r="B15" s="12"/>
      <c r="C15" s="9"/>
      <c r="D15" s="9"/>
      <c r="E15" s="9"/>
      <c r="F15" s="9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</row>
    <row r="16" spans="1:21" ht="15" customHeight="1">
      <c r="A16" s="16" t="s">
        <v>16</v>
      </c>
      <c r="B16" s="16"/>
      <c r="C16" s="16"/>
      <c r="D16" s="16"/>
      <c r="E16" s="16"/>
      <c r="F16" s="16"/>
      <c r="G16" s="16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</row>
    <row r="17" spans="1:21">
      <c r="A17" s="16"/>
      <c r="B17" s="16"/>
      <c r="C17" s="16"/>
      <c r="D17" s="16"/>
      <c r="E17" s="16"/>
      <c r="F17" s="16"/>
      <c r="G17" s="16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</row>
    <row r="18" spans="1:21">
      <c r="A18" s="16"/>
      <c r="B18" s="16"/>
      <c r="C18" s="16"/>
      <c r="D18" s="16"/>
      <c r="E18" s="16"/>
      <c r="F18" s="16"/>
      <c r="G18" s="16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</row>
    <row r="19" spans="1:21">
      <c r="A19" s="16"/>
      <c r="B19" s="16"/>
      <c r="C19" s="16"/>
      <c r="D19" s="16"/>
      <c r="E19" s="16"/>
      <c r="F19" s="16"/>
      <c r="G19" s="16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</row>
    <row r="20" spans="1:21">
      <c r="A20" s="16"/>
      <c r="B20" s="16"/>
      <c r="C20" s="16"/>
      <c r="D20" s="16"/>
      <c r="E20" s="16"/>
      <c r="F20" s="16"/>
      <c r="G20" s="16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</row>
    <row r="21" spans="1:21"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</row>
    <row r="22" spans="1:21">
      <c r="A22" s="7">
        <v>3</v>
      </c>
      <c r="B22" s="7">
        <f t="shared" ref="B22:B25" si="0">IF(A22&gt;2^31, (A22-2^32), A22)</f>
        <v>3</v>
      </c>
      <c r="D22" t="s">
        <v>17</v>
      </c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</row>
    <row r="23" spans="1:21">
      <c r="A23" s="7">
        <v>2</v>
      </c>
      <c r="B23" s="7">
        <f t="shared" si="0"/>
        <v>2</v>
      </c>
      <c r="D23" s="17" t="s">
        <v>22</v>
      </c>
      <c r="E23" s="17"/>
      <c r="F23" s="17"/>
      <c r="G23" s="17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</row>
    <row r="24" spans="1:21">
      <c r="A24" s="7">
        <v>1</v>
      </c>
      <c r="B24" s="7">
        <f t="shared" si="0"/>
        <v>1</v>
      </c>
      <c r="D24" s="17"/>
      <c r="E24" s="17"/>
      <c r="F24" s="17"/>
      <c r="G24" s="17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</row>
    <row r="25" spans="1:21">
      <c r="A25" s="7">
        <v>0</v>
      </c>
      <c r="B25" s="7">
        <f t="shared" si="0"/>
        <v>0</v>
      </c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</row>
    <row r="26" spans="1:21" ht="15" customHeight="1">
      <c r="A26" s="7">
        <f>2^32-1</f>
        <v>4294967295</v>
      </c>
      <c r="B26" s="7">
        <f>IF(A26&gt;2^31, (A26-2^32), A26)</f>
        <v>-1</v>
      </c>
      <c r="D26" s="18" t="s">
        <v>23</v>
      </c>
      <c r="E26" s="18"/>
      <c r="F26" s="18"/>
      <c r="G26" s="18"/>
      <c r="H26" s="18"/>
    </row>
    <row r="27" spans="1:21" ht="15" customHeight="1">
      <c r="A27" s="7">
        <f>2^32-2</f>
        <v>4294967294</v>
      </c>
      <c r="B27" s="7">
        <f t="shared" ref="B27:B28" si="1">IF(A27&gt;2^31, (A27-2^32), A27)</f>
        <v>-2</v>
      </c>
      <c r="D27" s="18"/>
      <c r="E27" s="18"/>
      <c r="F27" s="18"/>
      <c r="G27" s="18"/>
      <c r="H27" s="18"/>
      <c r="J27" s="18" t="s">
        <v>24</v>
      </c>
      <c r="K27" s="18"/>
      <c r="L27" s="18"/>
      <c r="M27" s="18"/>
      <c r="N27" s="18"/>
    </row>
    <row r="28" spans="1:21">
      <c r="A28" s="7">
        <f>2^32-3</f>
        <v>4294967293</v>
      </c>
      <c r="B28" s="7">
        <f t="shared" si="1"/>
        <v>-3</v>
      </c>
      <c r="D28" s="18"/>
      <c r="E28" s="18"/>
      <c r="F28" s="18"/>
      <c r="G28" s="18"/>
      <c r="H28" s="18"/>
      <c r="J28" s="18"/>
      <c r="K28" s="18"/>
      <c r="L28" s="18"/>
      <c r="M28" s="18"/>
      <c r="N28" s="18"/>
    </row>
    <row r="29" spans="1:21">
      <c r="D29" s="18"/>
      <c r="E29" s="18"/>
      <c r="F29" s="18"/>
      <c r="G29" s="18"/>
      <c r="H29" s="18"/>
      <c r="J29" s="18"/>
      <c r="K29" s="18"/>
      <c r="L29" s="18"/>
      <c r="M29" s="18"/>
      <c r="N29" s="18"/>
    </row>
    <row r="30" spans="1:21">
      <c r="D30" s="14"/>
      <c r="E30" s="14"/>
      <c r="F30" s="14"/>
      <c r="G30" s="14"/>
      <c r="H30" s="14"/>
      <c r="J30" s="18"/>
      <c r="K30" s="18"/>
      <c r="L30" s="18"/>
      <c r="M30" s="18"/>
      <c r="N30" s="18"/>
    </row>
    <row r="31" spans="1:21">
      <c r="D31" s="15" t="s">
        <v>20</v>
      </c>
      <c r="E31" s="15"/>
      <c r="F31">
        <v>2</v>
      </c>
      <c r="J31" s="18"/>
      <c r="K31" s="18"/>
      <c r="L31" s="18"/>
      <c r="M31" s="18"/>
      <c r="N31" s="18"/>
    </row>
    <row r="32" spans="1:21">
      <c r="J32" s="18"/>
      <c r="K32" s="18"/>
      <c r="L32" s="18"/>
      <c r="M32" s="18"/>
      <c r="N32" s="18"/>
    </row>
    <row r="33" spans="4:14">
      <c r="D33" t="s">
        <v>18</v>
      </c>
      <c r="E33">
        <f>F31*B12</f>
        <v>1.2254797464435183</v>
      </c>
      <c r="J33" s="18"/>
      <c r="K33" s="18"/>
      <c r="L33" s="18"/>
      <c r="M33" s="18"/>
      <c r="N33" s="18"/>
    </row>
    <row r="34" spans="4:14">
      <c r="D34" t="s">
        <v>19</v>
      </c>
      <c r="E34">
        <f>F31/B12</f>
        <v>3.2640278320457399</v>
      </c>
    </row>
  </sheetData>
  <mergeCells count="5">
    <mergeCell ref="D31:E31"/>
    <mergeCell ref="A16:G20"/>
    <mergeCell ref="D23:G24"/>
    <mergeCell ref="D26:H29"/>
    <mergeCell ref="J27:N33"/>
  </mergeCells>
  <pageMargins left="0.7" right="0.7" top="0.75" bottom="0.75" header="0.3" footer="0.3"/>
  <pageSetup orientation="portrait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Sheet1</vt:lpstr>
      <vt:lpstr>_c</vt:lpstr>
      <vt:lpstr>_c2</vt:lpstr>
      <vt:lpstr>_d</vt:lpstr>
      <vt:lpstr>_g</vt:lpstr>
      <vt:lpstr>r_R</vt:lpstr>
      <vt:lpstr>theta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Hynes</dc:creator>
  <cp:lastModifiedBy>Peter</cp:lastModifiedBy>
  <dcterms:created xsi:type="dcterms:W3CDTF">2014-10-25T04:22:12Z</dcterms:created>
  <dcterms:modified xsi:type="dcterms:W3CDTF">2014-10-30T05:09:26Z</dcterms:modified>
</cp:coreProperties>
</file>